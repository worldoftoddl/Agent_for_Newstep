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300 Lead" sheetId="1" state="visible" r:id="rId1"/>
    <sheet name="5310 은행조회" sheetId="2" state="visible" r:id="rId2"/>
    <sheet name="범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3" fontId="2" fillId="0" borderId="1" pivotButton="0" quotePrefix="0" xfId="0"/>
    <xf numFmtId="0" fontId="0" fillId="3" borderId="0" applyAlignment="1" pivotButton="0" quotePrefix="0" xfId="0">
      <alignment horizontal="center"/>
    </xf>
    <xf numFmtId="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박지훈</author>
  </authors>
  <commentList>
    <comment ref="A3" authorId="0" shapeId="0">
      <text>
        <t>검토 완료. 은행조회 대사 및 시산표 대사 이상 없음 확인. — 박지훈</t>
      </text>
    </comment>
  </commentList>
</comments>
</file>

<file path=xl/comments/comment2.xml><?xml version="1.0" encoding="utf-8"?>
<comments xmlns="http://schemas.openxmlformats.org/spreadsheetml/2006/main">
  <authors>
    <author>김선우</author>
  </authors>
  <commentList>
    <comment ref="F8" authorId="0" shapeId="0">
      <text>
        <t>미르증권 1차 조회서 미회신으로 1/12 2차 발송, 1/18 회신 수령. — 김선우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(주)한빛전자 — 현금및현금성자산 리드시트</t>
        </is>
      </c>
    </row>
    <row r="2">
      <c r="A2" t="inlineStr">
        <is>
          <t>조서번호: 5300  |  감사기준일: 2025-12-31  |  단위: 원</t>
        </is>
      </c>
    </row>
    <row r="3">
      <c r="A3" s="2" t="inlineStr">
        <is>
          <t>작성: 김선우 (2026-01-15)    검토: 박지훈 (2026-01-22)</t>
        </is>
      </c>
    </row>
    <row r="5">
      <c r="A5" s="3" t="inlineStr">
        <is>
          <t>계정과목</t>
        </is>
      </c>
      <c r="B5" s="3" t="inlineStr">
        <is>
          <t>당기말</t>
        </is>
      </c>
      <c r="C5" s="3" t="inlineStr">
        <is>
          <t>전기말</t>
        </is>
      </c>
      <c r="D5" s="3" t="inlineStr">
        <is>
          <t>증감액</t>
        </is>
      </c>
      <c r="E5" s="3" t="inlineStr">
        <is>
          <t>증감률</t>
        </is>
      </c>
      <c r="F5" s="3" t="inlineStr">
        <is>
          <t>Ref</t>
        </is>
      </c>
      <c r="G5" s="3" t="inlineStr">
        <is>
          <t>틱</t>
        </is>
      </c>
    </row>
    <row r="6">
      <c r="A6" s="4" t="inlineStr">
        <is>
          <t>보통예금</t>
        </is>
      </c>
      <c r="B6" s="5" t="n">
        <v>1842500000</v>
      </c>
      <c r="C6" s="5" t="n">
        <v>1517300000</v>
      </c>
      <c r="D6" s="5">
        <f>B6-C6</f>
        <v>325200000</v>
      </c>
      <c r="E6" s="6">
        <f>IF(C6=0,"n/a",D6/C6)</f>
        <v>0.21432808277861992</v>
      </c>
      <c r="F6" s="4" t="inlineStr">
        <is>
          <t>5310</t>
        </is>
      </c>
      <c r="G6" s="7" t="inlineStr">
        <is>
          <t>✓</t>
        </is>
      </c>
    </row>
    <row r="7">
      <c r="A7" s="4" t="inlineStr">
        <is>
          <t>정기예금(만기 3개월 이내)</t>
        </is>
      </c>
      <c r="B7" s="5" t="n">
        <v>1000000000</v>
      </c>
      <c r="C7" s="5" t="n">
        <v>800000000</v>
      </c>
      <c r="D7" s="5">
        <f>B7-C7</f>
        <v>200000000</v>
      </c>
      <c r="E7" s="6">
        <f>IF(C7=0,"n/a",D7/C7)</f>
        <v>0.25</v>
      </c>
      <c r="F7" s="4" t="inlineStr">
        <is>
          <t>5310</t>
        </is>
      </c>
      <c r="G7" s="7" t="inlineStr">
        <is>
          <t>✓</t>
        </is>
      </c>
    </row>
    <row r="8">
      <c r="A8" s="4" t="inlineStr">
        <is>
          <t>현금성자산(MMF)</t>
        </is>
      </c>
      <c r="B8" s="5" t="n">
        <v>350000000</v>
      </c>
      <c r="C8" s="5" t="n">
        <v>420000000</v>
      </c>
      <c r="D8" s="5">
        <f>B8-C8</f>
        <v>-70000000</v>
      </c>
      <c r="E8" s="6">
        <f>IF(C8=0,"n/a",D8/C8)</f>
        <v>-0.16666666666666666</v>
      </c>
      <c r="F8" s="4" t="inlineStr">
        <is>
          <t>5310</t>
        </is>
      </c>
      <c r="G8" s="7" t="inlineStr">
        <is>
          <t>✓</t>
        </is>
      </c>
    </row>
    <row r="9">
      <c r="A9" s="4" t="inlineStr">
        <is>
          <t>소액현금</t>
        </is>
      </c>
      <c r="B9" s="5" t="n">
        <v>3200000</v>
      </c>
      <c r="C9" s="5" t="n">
        <v>3000000</v>
      </c>
      <c r="D9" s="5">
        <f>B9-C9</f>
        <v>200000</v>
      </c>
      <c r="E9" s="6">
        <f>IF(C9=0,"n/a",D9/C9)</f>
        <v>0.06666666666666667</v>
      </c>
      <c r="F9" s="4" t="inlineStr">
        <is>
          <t>실사</t>
        </is>
      </c>
      <c r="G9" s="7" t="inlineStr">
        <is>
          <t>✓</t>
        </is>
      </c>
    </row>
    <row r="10">
      <c r="A10" s="2" t="inlineStr">
        <is>
          <t>합계</t>
        </is>
      </c>
      <c r="B10" s="8">
        <f>SUM(B6:B9)</f>
        <v>3195700000</v>
      </c>
      <c r="C10" s="8">
        <f>SUM(C6:C9)</f>
        <v>2740300000</v>
      </c>
      <c r="D10" s="8">
        <f>B10-C10</f>
        <v>455400000</v>
      </c>
    </row>
    <row r="12">
      <c r="A12" t="inlineStr">
        <is>
          <t>T/B 대사: 시산표(현금및현금성자산) 금액</t>
        </is>
      </c>
      <c r="B12" s="5" t="n">
        <v>3195700000</v>
      </c>
      <c r="C12" s="9" t="inlineStr">
        <is>
          <t>T/B</t>
        </is>
      </c>
    </row>
    <row r="13">
      <c r="A13" t="inlineStr">
        <is>
          <t>차이</t>
        </is>
      </c>
      <c r="B13" s="5">
        <f>B10-B12</f>
        <v>0</v>
      </c>
    </row>
    <row r="15">
      <c r="A15" t="inlineStr">
        <is>
          <t>수행절차: ① 은행조회서 발송·회신 대사(5310) ② 소액현금 실사 입회 ③ 시산표 대사 ④ 만기 3개월 초과 예금의 현금성자산 분류 검토</t>
        </is>
      </c>
    </row>
    <row r="16">
      <c r="A16" s="2" t="inlineStr">
        <is>
          <t>결론: 현금및현금성자산 3,195,700,000원은 중요성 관점에서 적정하게 표시되어 있음.</t>
        </is>
      </c>
    </row>
    <row r="18">
      <c r="A18" t="inlineStr">
        <is>
          <t>근거: 감사기준서 330에 따른 실증절차로서 감사기준서 505의 적극적 조회 방식으로 외부조회를 수행함. 현금성자산 분류 기준은 K-IFRS 제1007호 '현금흐름표' 문단 6~7의 정의를 적용함.</t>
        </is>
      </c>
    </row>
    <row r="20">
      <c r="A20" s="10" t="inlineStr">
        <is>
          <t>※ 본 파일은 ExcelBrief 데모용 가상 데이터이며 실제 회사·감사업무와 무관합니다.</t>
        </is>
      </c>
    </row>
  </sheetData>
  <pageMargins left="0.75" right="0.75" top="1" bottom="1" header="0.5" footer="0.5"/>
  <legacyDrawing r:id="anysvml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은행조회서 회신 대사표</t>
        </is>
      </c>
    </row>
    <row r="2">
      <c r="A2" t="inlineStr">
        <is>
          <t>조회기준일: 2025-12-31  |  발송일: 2026-01-02  |  단위: 원</t>
        </is>
      </c>
    </row>
    <row r="4">
      <c r="A4" s="3" t="inlineStr">
        <is>
          <t>은행</t>
        </is>
      </c>
      <c r="B4" s="3" t="inlineStr">
        <is>
          <t>계좌구분</t>
        </is>
      </c>
      <c r="C4" s="3" t="inlineStr">
        <is>
          <t>장부금액</t>
        </is>
      </c>
      <c r="D4" s="3" t="inlineStr">
        <is>
          <t>회신금액</t>
        </is>
      </c>
      <c r="E4" s="3" t="inlineStr">
        <is>
          <t>차이</t>
        </is>
      </c>
      <c r="F4" s="3" t="inlineStr">
        <is>
          <t>회신일</t>
        </is>
      </c>
      <c r="G4" s="3" t="inlineStr">
        <is>
          <t>틱</t>
        </is>
      </c>
    </row>
    <row r="5">
      <c r="A5" s="4" t="inlineStr">
        <is>
          <t>한빛은행</t>
        </is>
      </c>
      <c r="B5" s="4" t="inlineStr">
        <is>
          <t>보통예금</t>
        </is>
      </c>
      <c r="C5" s="5" t="n">
        <v>1204800000</v>
      </c>
      <c r="D5" s="5" t="n">
        <v>1204800000</v>
      </c>
      <c r="E5" s="5">
        <f>C5-D5</f>
        <v>0</v>
      </c>
      <c r="F5" s="4" t="inlineStr">
        <is>
          <t>2026-01-08</t>
        </is>
      </c>
      <c r="G5" s="9" t="inlineStr">
        <is>
          <t>✓</t>
        </is>
      </c>
    </row>
    <row r="6">
      <c r="A6" s="4" t="inlineStr">
        <is>
          <t>가온은행</t>
        </is>
      </c>
      <c r="B6" s="4" t="inlineStr">
        <is>
          <t>보통예금</t>
        </is>
      </c>
      <c r="C6" s="5" t="n">
        <v>637700000</v>
      </c>
      <c r="D6" s="5" t="n">
        <v>637700000</v>
      </c>
      <c r="E6" s="5">
        <f>C6-D6</f>
        <v>0</v>
      </c>
      <c r="F6" s="4" t="inlineStr">
        <is>
          <t>2026-01-09</t>
        </is>
      </c>
      <c r="G6" s="9" t="inlineStr">
        <is>
          <t>✓</t>
        </is>
      </c>
    </row>
    <row r="7">
      <c r="A7" s="4" t="inlineStr">
        <is>
          <t>한빛은행</t>
        </is>
      </c>
      <c r="B7" s="4" t="inlineStr">
        <is>
          <t>정기예금</t>
        </is>
      </c>
      <c r="C7" s="5" t="n">
        <v>1000000000</v>
      </c>
      <c r="D7" s="5" t="n">
        <v>1000000000</v>
      </c>
      <c r="E7" s="5">
        <f>C7-D7</f>
        <v>0</v>
      </c>
      <c r="F7" s="4" t="inlineStr">
        <is>
          <t>2026-01-08</t>
        </is>
      </c>
      <c r="G7" s="9" t="inlineStr">
        <is>
          <t>✓</t>
        </is>
      </c>
    </row>
    <row r="8">
      <c r="A8" s="4" t="inlineStr">
        <is>
          <t>미르증권</t>
        </is>
      </c>
      <c r="B8" s="4" t="inlineStr">
        <is>
          <t>MMF</t>
        </is>
      </c>
      <c r="C8" s="5" t="n">
        <v>350000000</v>
      </c>
      <c r="D8" s="5" t="n">
        <v>350000000</v>
      </c>
      <c r="E8" s="5">
        <f>C8-D8</f>
        <v>0</v>
      </c>
      <c r="F8" s="4" t="inlineStr">
        <is>
          <t>2026-01-18</t>
        </is>
      </c>
      <c r="G8" s="9" t="inlineStr">
        <is>
          <t>✓</t>
        </is>
      </c>
    </row>
    <row r="10">
      <c r="A10" s="2" t="inlineStr">
        <is>
          <t>차이 합계</t>
        </is>
      </c>
      <c r="E10" s="8">
        <f>SUM(E5:E8)</f>
        <v>0</v>
      </c>
    </row>
    <row r="12">
      <c r="A12" t="inlineStr">
        <is>
          <t>조회 대상 4개 계좌 전건 회신 수령, 차이 없음 확인.</t>
        </is>
      </c>
    </row>
  </sheetData>
  <pageMargins left="0.75" right="0.75" top="1" bottom="1" header="0.5" footer="0.5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틱마크 범례</t>
        </is>
      </c>
    </row>
    <row r="3">
      <c r="A3" s="3" t="inlineStr">
        <is>
          <t>틱마크</t>
        </is>
      </c>
      <c r="B3" s="3" t="inlineStr">
        <is>
          <t>의미</t>
        </is>
      </c>
    </row>
    <row r="4">
      <c r="A4" s="11" t="inlineStr">
        <is>
          <t>✓</t>
        </is>
      </c>
      <c r="B4" s="4" t="inlineStr">
        <is>
          <t>은행조회서 회신금액과 대사 확인</t>
        </is>
      </c>
    </row>
    <row r="5">
      <c r="A5" s="11" t="inlineStr">
        <is>
          <t>T/B</t>
        </is>
      </c>
      <c r="B5" s="4" t="inlineStr">
        <is>
          <t>시산표 금액과 대사 확인</t>
        </is>
      </c>
    </row>
    <row r="6">
      <c r="A6" s="11" t="inlineStr">
        <is>
          <t>실사</t>
        </is>
      </c>
      <c r="B6" s="4" t="inlineStr">
        <is>
          <t>현금 실사 입회로 확인</t>
        </is>
      </c>
    </row>
    <row r="7">
      <c r="A7" t="inlineStr">
        <is>
          <t>초록 배경 셀 = 절차 완료 항목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2026-07-16T07:16:35Z</dcterms:created>
  <dcterms:modified xsi:type="dcterms:W3CDTF">2026-07-16T07:16:35Z</dcterms:modified>
</cp:coreProperties>
</file>