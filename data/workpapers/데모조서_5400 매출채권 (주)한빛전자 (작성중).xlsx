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400 Lead" sheetId="1" state="visible" r:id="rId1"/>
    <sheet name="5410 조회서" sheetId="2" state="visible" r:id="rId2"/>
    <sheet name="5420 대손충당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C000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김선우</author>
  </authors>
  <commentList>
    <comment ref="B8" authorId="0" shapeId="0">
      <text>
        <t>잠정치. 5420 기대신용손실 산정 완료 후 확정 예정. — 김선우</t>
      </text>
    </comment>
  </commentList>
</comments>
</file>

<file path=xl/comments/comment2.xml><?xml version="1.0" encoding="utf-8"?>
<comments xmlns="http://schemas.openxmlformats.org/spreadsheetml/2006/main">
  <authors>
    <author>김선우</author>
  </authors>
  <commentList>
    <comment ref="D6" authorId="0" shapeId="0">
      <text>
        <t>차이 5,800,000원 — 12/30 반품 미반영으로 추정. 원인조사 필요. — 김선우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(주)한빛전자 — 매출채권 리드시트 (작성중)</t>
        </is>
      </c>
    </row>
    <row r="2">
      <c r="A2" t="inlineStr">
        <is>
          <t>조서번호: 5400  |  감사기준일: 2025-12-31  |  단위: 원</t>
        </is>
      </c>
    </row>
    <row r="3">
      <c r="A3" s="2" t="inlineStr">
        <is>
          <t>작성: 김선우 (2026-01-20)    검토: (미완료)</t>
        </is>
      </c>
    </row>
    <row r="5">
      <c r="A5" s="3" t="inlineStr">
        <is>
          <t>계정과목</t>
        </is>
      </c>
      <c r="B5" s="3" t="inlineStr">
        <is>
          <t>당기말</t>
        </is>
      </c>
      <c r="C5" s="3" t="inlineStr">
        <is>
          <t>전기말</t>
        </is>
      </c>
      <c r="D5" s="3" t="inlineStr">
        <is>
          <t>증감액</t>
        </is>
      </c>
      <c r="E5" s="3" t="inlineStr">
        <is>
          <t>Ref</t>
        </is>
      </c>
      <c r="F5" s="3" t="inlineStr">
        <is>
          <t>틱</t>
        </is>
      </c>
    </row>
    <row r="6">
      <c r="A6" s="4" t="inlineStr">
        <is>
          <t>외상매출금</t>
        </is>
      </c>
      <c r="B6" s="5" t="n">
        <v>4218600000</v>
      </c>
      <c r="C6" s="5" t="n">
        <v>3654200000</v>
      </c>
      <c r="D6" s="5">
        <f>B6-C6</f>
        <v>564400000</v>
      </c>
      <c r="E6" s="4" t="inlineStr">
        <is>
          <t>5410</t>
        </is>
      </c>
      <c r="F6" s="4" t="n"/>
    </row>
    <row r="7">
      <c r="A7" s="4" t="inlineStr">
        <is>
          <t>받을어음</t>
        </is>
      </c>
      <c r="B7" s="5" t="n">
        <v>512000000</v>
      </c>
      <c r="C7" s="5" t="n">
        <v>486500000</v>
      </c>
      <c r="D7" s="5">
        <f>B7-C7</f>
        <v>25500000</v>
      </c>
      <c r="E7" s="4" t="inlineStr">
        <is>
          <t>5410</t>
        </is>
      </c>
      <c r="F7" s="4" t="n"/>
    </row>
    <row r="8">
      <c r="A8" s="4" t="inlineStr">
        <is>
          <t>대손충당금</t>
        </is>
      </c>
      <c r="B8" s="6" t="n">
        <v>-164300000</v>
      </c>
      <c r="C8" s="5" t="n">
        <v>-128900000</v>
      </c>
      <c r="D8" s="5">
        <f>B8-C8</f>
        <v>-35400000</v>
      </c>
      <c r="E8" s="4" t="inlineStr">
        <is>
          <t>5420</t>
        </is>
      </c>
      <c r="F8" s="4" t="n"/>
    </row>
    <row r="9">
      <c r="A9" s="2" t="inlineStr">
        <is>
          <t>합계(순액)</t>
        </is>
      </c>
      <c r="B9" s="7">
        <f>SUM(B6:B8)</f>
        <v>4566300000</v>
      </c>
      <c r="C9" s="7">
        <f>SUM(C6:C8)</f>
        <v>4011800000</v>
      </c>
      <c r="D9" s="7">
        <f>B9-C9</f>
        <v>554500000</v>
      </c>
    </row>
    <row r="11">
      <c r="A11" t="inlineStr">
        <is>
          <t>계획된 절차: ① 거래처 채권조회(감사기준서 505) — 5410 진행중 ② 대손충당금(기대신용손실, K-IFRS 제1109호) 재계산 — 5420 미착수 ③ 기간귀속 테스트(매출 cut-off) — 미착수</t>
        </is>
      </c>
    </row>
    <row r="12">
      <c r="A12" s="8" t="inlineStr">
        <is>
          <t>결론: (작성 예정)</t>
        </is>
      </c>
    </row>
    <row r="14">
      <c r="A14" s="9" t="inlineStr">
        <is>
          <t>※ 본 파일은 ExcelBrief 데모용 가상 데이터이며 실제 회사·감사업무와 무관합니다.</t>
        </is>
      </c>
    </row>
  </sheetData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6" max="6"/>
  </cols>
  <sheetData>
    <row r="1">
      <c r="A1" s="1" t="inlineStr">
        <is>
          <t>매출채권 조회서 발송·회신 관리</t>
        </is>
      </c>
    </row>
    <row r="2">
      <c r="A2" t="inlineStr">
        <is>
          <t>표본: 잔액 상위 8개 거래처 (모집단의 72%)  |  발송일: 2026-01-05</t>
        </is>
      </c>
    </row>
    <row r="4">
      <c r="A4" s="3" t="inlineStr">
        <is>
          <t>거래처</t>
        </is>
      </c>
      <c r="B4" s="3" t="inlineStr">
        <is>
          <t>장부금액</t>
        </is>
      </c>
      <c r="C4" s="3" t="inlineStr">
        <is>
          <t>회신금액</t>
        </is>
      </c>
      <c r="D4" s="3" t="inlineStr">
        <is>
          <t>차이</t>
        </is>
      </c>
      <c r="E4" s="3" t="inlineStr">
        <is>
          <t>상태</t>
        </is>
      </c>
      <c r="F4" s="3" t="inlineStr">
        <is>
          <t>대체절차</t>
        </is>
      </c>
    </row>
    <row r="5">
      <c r="A5" s="4" t="inlineStr">
        <is>
          <t>(주)세움디스플레이</t>
        </is>
      </c>
      <c r="B5" s="5" t="n">
        <v>1120400000</v>
      </c>
      <c r="C5" s="5" t="n">
        <v>1120400000</v>
      </c>
      <c r="D5" s="5">
        <f>B5-C5</f>
        <v>0</v>
      </c>
      <c r="E5" s="10" t="inlineStr">
        <is>
          <t>회신</t>
        </is>
      </c>
      <c r="F5" s="4" t="n"/>
    </row>
    <row r="6">
      <c r="A6" s="4" t="inlineStr">
        <is>
          <t>가람테크(주)</t>
        </is>
      </c>
      <c r="B6" s="5" t="n">
        <v>764100000</v>
      </c>
      <c r="C6" s="5" t="n">
        <v>758300000</v>
      </c>
      <c r="D6" s="5">
        <f>B6-C6</f>
        <v>5800000</v>
      </c>
      <c r="E6" s="10" t="inlineStr">
        <is>
          <t>회신</t>
        </is>
      </c>
      <c r="F6" s="4" t="n"/>
    </row>
    <row r="7">
      <c r="A7" s="4" t="inlineStr">
        <is>
          <t>(주)누리반도체</t>
        </is>
      </c>
      <c r="B7" s="5" t="n">
        <v>583800000</v>
      </c>
      <c r="C7" s="5" t="n">
        <v>583800000</v>
      </c>
      <c r="D7" s="5">
        <f>B7-C7</f>
        <v>0</v>
      </c>
      <c r="E7" s="10" t="inlineStr">
        <is>
          <t>회신</t>
        </is>
      </c>
      <c r="F7" s="4" t="n"/>
    </row>
    <row r="8">
      <c r="A8" s="4" t="inlineStr">
        <is>
          <t>한결전자부품(주)</t>
        </is>
      </c>
      <c r="B8" s="5" t="n">
        <v>402600000</v>
      </c>
      <c r="C8" s="4" t="n"/>
      <c r="D8" s="4" t="n"/>
      <c r="E8" s="11" t="inlineStr">
        <is>
          <t>회신대기</t>
        </is>
      </c>
      <c r="F8" s="4" t="n"/>
    </row>
    <row r="9">
      <c r="A9" s="4" t="inlineStr">
        <is>
          <t>(주)미래로</t>
        </is>
      </c>
      <c r="B9" s="5" t="n">
        <v>297500000</v>
      </c>
      <c r="C9" s="4" t="n"/>
      <c r="D9" s="4" t="n"/>
      <c r="E9" s="11" t="inlineStr">
        <is>
          <t>회신대기</t>
        </is>
      </c>
      <c r="F9" s="4" t="n"/>
    </row>
    <row r="10">
      <c r="A10" s="4" t="inlineStr">
        <is>
          <t>돌섬산업(주)</t>
        </is>
      </c>
      <c r="B10" s="5" t="n">
        <v>244900000</v>
      </c>
      <c r="C10" s="4" t="n"/>
      <c r="D10" s="4" t="n"/>
      <c r="E10" s="11" t="inlineStr">
        <is>
          <t>회신대기</t>
        </is>
      </c>
      <c r="F10" s="4" t="n"/>
    </row>
    <row r="11">
      <c r="A11" s="4" t="inlineStr">
        <is>
          <t>(주)바로물류</t>
        </is>
      </c>
      <c r="B11" s="5" t="n">
        <v>189300000</v>
      </c>
      <c r="C11" s="4" t="n"/>
      <c r="D11" s="4" t="n"/>
      <c r="E11" s="11" t="inlineStr">
        <is>
          <t>회신대기</t>
        </is>
      </c>
      <c r="F11" s="4" t="n"/>
    </row>
    <row r="12">
      <c r="A12" s="4" t="inlineStr">
        <is>
          <t>새빛정밀(주)</t>
        </is>
      </c>
      <c r="B12" s="5" t="n">
        <v>151200000</v>
      </c>
      <c r="C12" s="4" t="n"/>
      <c r="D12" s="4" t="n"/>
      <c r="E12" s="11" t="inlineStr">
        <is>
          <t>회신대기</t>
        </is>
      </c>
      <c r="F12" s="4" t="n"/>
    </row>
    <row r="14">
      <c r="A14" s="8" t="inlineStr">
        <is>
          <t>미회신 5건: 2차 발송 예정. 최종 미회신 시 대체절차(후속 회수 확인 등) 수행 필요.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4" max="4"/>
    <col width="16" customWidth="1" min="5" max="5"/>
  </cols>
  <sheetData>
    <row r="1">
      <c r="A1" s="1" t="inlineStr">
        <is>
          <t>대손충당금(기대신용손실) 산정</t>
        </is>
      </c>
    </row>
    <row r="3">
      <c r="A3" s="8" t="inlineStr">
        <is>
          <t>TODO: 채권 연령분석 데이터 입력 및 기대신용손실(K-IFRS 제1109호) 재계산 수행</t>
        </is>
      </c>
    </row>
    <row r="5">
      <c r="A5" s="3" t="inlineStr">
        <is>
          <t>연령구간</t>
        </is>
      </c>
      <c r="B5" s="3" t="inlineStr">
        <is>
          <t>채권잔액</t>
        </is>
      </c>
      <c r="C5" s="3" t="inlineStr">
        <is>
          <t>손실율</t>
        </is>
      </c>
      <c r="D5" s="3" t="inlineStr">
        <is>
          <t>기대신용손실</t>
        </is>
      </c>
      <c r="E5" s="3" t="inlineStr">
        <is>
          <t>전기 손실율</t>
        </is>
      </c>
      <c r="F5" s="3" t="inlineStr">
        <is>
          <t>비고</t>
        </is>
      </c>
    </row>
    <row r="6">
      <c r="A6" s="4" t="inlineStr">
        <is>
          <t>3개월 이내</t>
        </is>
      </c>
      <c r="B6" s="4" t="n"/>
      <c r="C6" s="4" t="n"/>
      <c r="D6" s="4" t="n"/>
      <c r="E6" s="4" t="n"/>
      <c r="F6" s="4" t="n"/>
    </row>
    <row r="7">
      <c r="A7" s="4" t="inlineStr">
        <is>
          <t>3~6개월</t>
        </is>
      </c>
      <c r="B7" s="4" t="n"/>
      <c r="C7" s="4" t="n"/>
      <c r="D7" s="4" t="n"/>
      <c r="E7" s="4" t="n"/>
      <c r="F7" s="4" t="n"/>
    </row>
    <row r="8">
      <c r="A8" s="4" t="inlineStr">
        <is>
          <t>6~12개월</t>
        </is>
      </c>
      <c r="B8" s="4" t="n"/>
      <c r="C8" s="4" t="n"/>
      <c r="D8" s="4" t="n"/>
      <c r="E8" s="4" t="n"/>
      <c r="F8" s="4" t="n"/>
    </row>
    <row r="9">
      <c r="A9" s="4" t="inlineStr">
        <is>
          <t>12개월 초과</t>
        </is>
      </c>
      <c r="B9" s="4" t="n"/>
      <c r="C9" s="4" t="n"/>
      <c r="D9" s="4" t="n"/>
      <c r="E9" s="4" t="n"/>
      <c r="F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2026-07-16T07:16:35Z</dcterms:created>
  <dcterms:modified xsi:type="dcterms:W3CDTF">2026-07-16T07:16:35Z</dcterms:modified>
</cp:coreProperties>
</file>