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산총괄" sheetId="1" state="visible" r:id="rId1"/>
    <sheet name="월별집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" fillId="0" borderId="0" pivotButton="0" quotePrefix="0" xfId="0"/>
    <xf numFmtId="3" fontId="2" fillId="0" borderId="1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4" customWidth="1" min="6" max="6"/>
  </cols>
  <sheetData>
    <row r="1">
      <c r="A1" s="1" t="inlineStr">
        <is>
          <t>2026년 상반기 부서별 예산집행 현황</t>
        </is>
      </c>
    </row>
    <row r="2">
      <c r="A2" t="inlineStr">
        <is>
          <t>기준일: 2026-06-30  |  단위: 천원  |  작성: 경영지원팀</t>
        </is>
      </c>
    </row>
    <row r="4">
      <c r="A4" s="2" t="inlineStr">
        <is>
          <t>부서</t>
        </is>
      </c>
      <c r="B4" s="2" t="inlineStr">
        <is>
          <t>연간예산</t>
        </is>
      </c>
      <c r="C4" s="2" t="inlineStr">
        <is>
          <t>상반기 집행액</t>
        </is>
      </c>
      <c r="D4" s="2" t="inlineStr">
        <is>
          <t>잔액</t>
        </is>
      </c>
      <c r="E4" s="2" t="inlineStr">
        <is>
          <t>집행률</t>
        </is>
      </c>
      <c r="F4" s="2" t="inlineStr">
        <is>
          <t>비고</t>
        </is>
      </c>
    </row>
    <row r="5">
      <c r="A5" s="3" t="inlineStr">
        <is>
          <t>연구개발팀</t>
        </is>
      </c>
      <c r="B5" s="4" t="n">
        <v>850000</v>
      </c>
      <c r="C5" s="4" t="n">
        <v>512300</v>
      </c>
      <c r="D5" s="4">
        <f>B5-C5</f>
        <v>337700</v>
      </c>
      <c r="E5" s="5">
        <f>C5/B5</f>
        <v>0.6027058823529412</v>
      </c>
      <c r="F5" s="3" t="inlineStr"/>
    </row>
    <row r="6">
      <c r="A6" s="3" t="inlineStr">
        <is>
          <t>영업팀</t>
        </is>
      </c>
      <c r="B6" s="4" t="n">
        <v>420000</v>
      </c>
      <c r="C6" s="4" t="n">
        <v>391800</v>
      </c>
      <c r="D6" s="4">
        <f>B6-C6</f>
        <v>28200</v>
      </c>
      <c r="E6" s="6">
        <f>C6/B6</f>
        <v>0.9328571428571428</v>
      </c>
      <c r="F6" s="3" t="inlineStr">
        <is>
          <t>하반기 예산 증액 요청</t>
        </is>
      </c>
    </row>
    <row r="7">
      <c r="A7" s="3" t="inlineStr">
        <is>
          <t>경영지원팀</t>
        </is>
      </c>
      <c r="B7" s="4" t="n">
        <v>310000</v>
      </c>
      <c r="C7" s="4" t="n">
        <v>148200</v>
      </c>
      <c r="D7" s="4">
        <f>B7-C7</f>
        <v>161800</v>
      </c>
      <c r="E7" s="5">
        <f>C7/B7</f>
        <v>0.4780645161290323</v>
      </c>
      <c r="F7" s="3" t="inlineStr"/>
    </row>
    <row r="8">
      <c r="A8" s="3" t="inlineStr">
        <is>
          <t>생산관리팀</t>
        </is>
      </c>
      <c r="B8" s="4" t="n">
        <v>560000</v>
      </c>
      <c r="C8" s="4" t="n">
        <v>233400</v>
      </c>
      <c r="D8" s="4">
        <f>B8-C8</f>
        <v>326600</v>
      </c>
      <c r="E8" s="5">
        <f>C8/B8</f>
        <v>0.41678571428571426</v>
      </c>
      <c r="F8" s="3" t="inlineStr"/>
    </row>
    <row r="9">
      <c r="A9" s="3" t="inlineStr">
        <is>
          <t>품질보증팀</t>
        </is>
      </c>
      <c r="B9" s="4" t="n">
        <v>180000</v>
      </c>
      <c r="C9" s="4" t="n">
        <v>92700</v>
      </c>
      <c r="D9" s="4">
        <f>B9-C9</f>
        <v>87300</v>
      </c>
      <c r="E9" s="5">
        <f>C9/B9</f>
        <v>0.515</v>
      </c>
      <c r="F9" s="3" t="inlineStr"/>
    </row>
    <row r="10">
      <c r="A10" s="3" t="inlineStr">
        <is>
          <t>마케팅팀</t>
        </is>
      </c>
      <c r="B10" s="4" t="n">
        <v>240000</v>
      </c>
      <c r="C10" s="4" t="n">
        <v>226100</v>
      </c>
      <c r="D10" s="4">
        <f>B10-C10</f>
        <v>13900</v>
      </c>
      <c r="E10" s="6">
        <f>C10/B10</f>
        <v>0.9420833333333334</v>
      </c>
      <c r="F10" s="3" t="inlineStr">
        <is>
          <t>행사비 초과 집행 주의</t>
        </is>
      </c>
    </row>
    <row r="11">
      <c r="A11" s="7" t="inlineStr">
        <is>
          <t>합계</t>
        </is>
      </c>
      <c r="B11" s="8">
        <f>SUM(B5:B10)</f>
        <v>2560000</v>
      </c>
      <c r="C11" s="8">
        <f>SUM(C5:C10)</f>
        <v>1604500</v>
      </c>
      <c r="D11" s="8">
        <f>B11-C11</f>
        <v>955500</v>
      </c>
      <c r="E11" s="9">
        <f>C11/B11</f>
        <v>0.6267578125</v>
      </c>
    </row>
    <row r="13">
      <c r="A13" t="inlineStr">
        <is>
          <t>주황 배경 = 집행률 85% 초과 부서 (하반기 예산 관리 필요)</t>
        </is>
      </c>
    </row>
    <row r="15">
      <c r="A15" s="10" t="inlineStr">
        <is>
          <t>※ 본 파일은 ExcelBrief 데모용 가상 데이터이며 실제 회사·감사업무와 무관합니다.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</cols>
  <sheetData>
    <row r="1">
      <c r="A1" s="1" t="inlineStr">
        <is>
          <t>월별 집행 추이 (전사 합계, 천원)</t>
        </is>
      </c>
    </row>
    <row r="3">
      <c r="A3" s="2" t="inlineStr">
        <is>
          <t>월</t>
        </is>
      </c>
      <c r="B3" s="2" t="inlineStr">
        <is>
          <t>집행액</t>
        </is>
      </c>
      <c r="C3" s="2" t="inlineStr">
        <is>
          <t>누계</t>
        </is>
      </c>
    </row>
    <row r="4">
      <c r="A4" s="3" t="inlineStr">
        <is>
          <t>2026-01</t>
        </is>
      </c>
      <c r="B4" s="4" t="n">
        <v>248100</v>
      </c>
      <c r="C4" s="4">
        <f>B4</f>
        <v>248100</v>
      </c>
    </row>
    <row r="5">
      <c r="A5" s="3" t="inlineStr">
        <is>
          <t>2026-02</t>
        </is>
      </c>
      <c r="B5" s="4" t="n">
        <v>262400</v>
      </c>
      <c r="C5" s="4">
        <f>C4+B5</f>
        <v>510500</v>
      </c>
    </row>
    <row r="6">
      <c r="A6" s="3" t="inlineStr">
        <is>
          <t>2026-03</t>
        </is>
      </c>
      <c r="B6" s="4" t="n">
        <v>305800</v>
      </c>
      <c r="C6" s="4">
        <f>C5+B6</f>
        <v>816300</v>
      </c>
    </row>
    <row r="7">
      <c r="A7" s="3" t="inlineStr">
        <is>
          <t>2026-04</t>
        </is>
      </c>
      <c r="B7" s="4" t="n">
        <v>271900</v>
      </c>
      <c r="C7" s="4">
        <f>C6+B7</f>
        <v>1088200</v>
      </c>
    </row>
    <row r="8">
      <c r="A8" s="3" t="inlineStr">
        <is>
          <t>2026-05</t>
        </is>
      </c>
      <c r="B8" s="4" t="n">
        <v>289200</v>
      </c>
      <c r="C8" s="4">
        <f>C7+B8</f>
        <v>1377400</v>
      </c>
    </row>
    <row r="9">
      <c r="A9" s="3" t="inlineStr">
        <is>
          <t>2026-06</t>
        </is>
      </c>
      <c r="B9" s="4" t="n">
        <v>227100</v>
      </c>
      <c r="C9" s="4">
        <f>C8+B9</f>
        <v>1604500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2026-07-16T07:16:35Z</dcterms:created>
  <dcterms:modified xsi:type="dcterms:W3CDTF">2026-07-16T07:16:35Z</dcterms:modified>
</cp:coreProperties>
</file>